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_2" sheetId="1" r:id="rId1"/>
    <sheet name="Freq_7" sheetId="2" r:id="rId2"/>
    <sheet name="Freq_14" sheetId="3" r:id="rId3"/>
    <sheet name="Freq_30" sheetId="4" r:id="rId4"/>
    <sheet name="without_outlier_results" sheetId="5" r:id="rId5"/>
    <sheet name="summary_average" sheetId="6" r:id="rId6"/>
  </sheets>
  <calcPr calcId="124519" fullCalcOnLoad="1"/>
</workbook>
</file>

<file path=xl/sharedStrings.xml><?xml version="1.0" encoding="utf-8"?>
<sst xmlns="http://schemas.openxmlformats.org/spreadsheetml/2006/main" count="208" uniqueCount="50">
  <si>
    <t>Group</t>
  </si>
  <si>
    <t>Expected X</t>
  </si>
  <si>
    <t>N</t>
  </si>
  <si>
    <t>Rep1 Abs Diff</t>
  </si>
  <si>
    <t>Rep2 Abs Diff</t>
  </si>
  <si>
    <t>Average Abs Diff</t>
  </si>
  <si>
    <t>Std Abs Diff</t>
  </si>
  <si>
    <t>CV Abs Diff (%)</t>
  </si>
  <si>
    <t>Fold change</t>
  </si>
  <si>
    <t>4PL Estimated X</t>
  </si>
  <si>
    <t>5PL Estimated X</t>
  </si>
  <si>
    <t>4PL %Recovery</t>
  </si>
  <si>
    <t>5PL %Recovery</t>
  </si>
  <si>
    <t>Max TimeIndex Used</t>
  </si>
  <si>
    <t>Cal0</t>
  </si>
  <si>
    <t>Cal3</t>
  </si>
  <si>
    <t>MoM</t>
  </si>
  <si>
    <t>MoM value (real CV, t-critical based, one-sided 95%)</t>
  </si>
  <si>
    <t>MoM value (assume CV = 7.5%, t = 1.88)</t>
  </si>
  <si>
    <t>MoM1</t>
  </si>
  <si>
    <t>TimeIndex</t>
  </si>
  <si>
    <t>Average Time</t>
  </si>
  <si>
    <t>Cal0 Rep1</t>
  </si>
  <si>
    <t>Cal0 Rep2</t>
  </si>
  <si>
    <t>Cal3 Rep1</t>
  </si>
  <si>
    <t>Cal3 Rep2</t>
  </si>
  <si>
    <t>Without Outlier Results - Frequency 2 Hz</t>
  </si>
  <si>
    <t>Outlier Replicates</t>
  </si>
  <si>
    <t>N (No Outlier)</t>
  </si>
  <si>
    <t>Average Abs Diff (No Outlier)</t>
  </si>
  <si>
    <t>Std Abs Diff (No Outlier)</t>
  </si>
  <si>
    <t>CV Abs Diff (%) (No Outlier)</t>
  </si>
  <si>
    <t>Fold change (No Outlier)</t>
  </si>
  <si>
    <t>4PL Estimated X (No Outlier)</t>
  </si>
  <si>
    <t>5PL Estimated X (No Outlier)</t>
  </si>
  <si>
    <t>4PL %Recovery (No Outlier)</t>
  </si>
  <si>
    <t>5PL %Recovery (No Outlier)</t>
  </si>
  <si>
    <t>MoM Without Outlier - Frequency 2 Hz</t>
  </si>
  <si>
    <t>MoM value (real CV, t-critical based, one-sided 95%) (No Outlier)</t>
  </si>
  <si>
    <t>MoM value (assume CV = 7.5%, t = 1.88) (No Outlier)</t>
  </si>
  <si>
    <t>Without Outlier Results - Frequency 7 Hz</t>
  </si>
  <si>
    <t>MoM Without Outlier - Frequency 7 Hz</t>
  </si>
  <si>
    <t>Without Outlier Results - Frequency 14 Hz</t>
  </si>
  <si>
    <t>MoM Without Outlier - Frequency 14 Hz</t>
  </si>
  <si>
    <t>Without Outlier Results - Frequency 30 Hz</t>
  </si>
  <si>
    <t>MoM Without Outlier - Frequency 30 Hz</t>
  </si>
  <si>
    <t>Frequency</t>
  </si>
  <si>
    <t>Average V2abs MAGNETIC</t>
  </si>
  <si>
    <t>Std V2abs MAGNETIC</t>
  </si>
  <si>
    <t>CV V2abs MAGNETIC (%)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</si>
</sst>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E+00"/>
  </numFmts>
  <fonts count="4">
    <font>
      <sz val="11"/>
      <color theme="1"/>
      <name val="Calibri"/>
      <family val="2"/>
      <scheme val="minor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9" width="22.7109375" customWidth="1"/>
    <col min="20" max="20" width="21.7109375" customWidth="1"/>
    <col min="21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0</v>
      </c>
      <c r="E2" s="7">
        <v>0</v>
      </c>
      <c r="F2" s="7">
        <v>0</v>
      </c>
      <c r="G2" s="7">
        <v>0</v>
      </c>
      <c r="H2" s="5"/>
      <c r="I2" s="5"/>
      <c r="J2" s="7"/>
      <c r="K2" s="7"/>
      <c r="L2" s="5"/>
      <c r="M2" s="5"/>
      <c r="N2" s="8">
        <v>2</v>
      </c>
      <c r="Q2" s="9">
        <v>1</v>
      </c>
      <c r="R2" s="5">
        <v>0.0537348339955012</v>
      </c>
      <c r="S2" s="7">
        <v>0.002059251027944254</v>
      </c>
      <c r="T2" s="7">
        <v>0.0021079271153462</v>
      </c>
      <c r="U2" s="7">
        <v>0.002103204581126936</v>
      </c>
      <c r="V2" s="10">
        <v>0.002303725494758063</v>
      </c>
    </row>
    <row r="3" spans="1:22">
      <c r="A3" s="11" t="s">
        <v>15</v>
      </c>
      <c r="B3" s="12">
        <v>2.82</v>
      </c>
      <c r="C3" s="13">
        <v>2</v>
      </c>
      <c r="D3" s="14">
        <v>0</v>
      </c>
      <c r="E3" s="14">
        <v>0</v>
      </c>
      <c r="F3" s="14">
        <v>0</v>
      </c>
      <c r="G3" s="14">
        <v>0</v>
      </c>
      <c r="H3" s="12"/>
      <c r="I3" s="12"/>
      <c r="J3" s="14"/>
      <c r="K3" s="14"/>
      <c r="L3" s="12"/>
      <c r="M3" s="12"/>
      <c r="N3" s="15">
        <v>2</v>
      </c>
      <c r="Q3" s="16">
        <v>2</v>
      </c>
      <c r="R3" s="12">
        <v>0.6716340223948161</v>
      </c>
      <c r="S3" s="14">
        <v>0.006777837016215794</v>
      </c>
      <c r="T3" s="14">
        <v>0.00686193249836451</v>
      </c>
      <c r="U3" s="14">
        <v>0.008624512769674915</v>
      </c>
      <c r="V3" s="17">
        <v>0.007458469361710768</v>
      </c>
    </row>
    <row r="6" spans="1:22">
      <c r="A6" s="18" t="s">
        <v>16</v>
      </c>
      <c r="B6" s="19" t="s">
        <v>17</v>
      </c>
      <c r="C6" s="20" t="s">
        <v>18</v>
      </c>
    </row>
    <row r="7" spans="1:22">
      <c r="A7" s="11" t="s">
        <v>19</v>
      </c>
      <c r="B7" s="12"/>
      <c r="C7" s="21"/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0</v>
      </c>
      <c r="E2" s="7">
        <v>0</v>
      </c>
      <c r="F2" s="7">
        <v>0</v>
      </c>
      <c r="G2" s="7">
        <v>0</v>
      </c>
      <c r="H2" s="5"/>
      <c r="I2" s="5"/>
      <c r="J2" s="7"/>
      <c r="K2" s="7"/>
      <c r="L2" s="5"/>
      <c r="M2" s="5"/>
      <c r="N2" s="8">
        <v>2</v>
      </c>
      <c r="Q2" s="9">
        <v>1</v>
      </c>
      <c r="R2" s="5">
        <v>0.08138826688130696</v>
      </c>
      <c r="S2" s="7">
        <v>0.001769405265457848</v>
      </c>
      <c r="T2" s="7">
        <v>0.001815119958854622</v>
      </c>
      <c r="U2" s="7">
        <v>0.001807297111528473</v>
      </c>
      <c r="V2" s="10">
        <v>0.001942385820506793</v>
      </c>
    </row>
    <row r="3" spans="1:22">
      <c r="A3" s="11" t="s">
        <v>15</v>
      </c>
      <c r="B3" s="12">
        <v>2.82</v>
      </c>
      <c r="C3" s="13">
        <v>2</v>
      </c>
      <c r="D3" s="14">
        <v>0</v>
      </c>
      <c r="E3" s="14">
        <v>0</v>
      </c>
      <c r="F3" s="14">
        <v>0</v>
      </c>
      <c r="G3" s="14">
        <v>0</v>
      </c>
      <c r="H3" s="12"/>
      <c r="I3" s="12"/>
      <c r="J3" s="14"/>
      <c r="K3" s="14"/>
      <c r="L3" s="12"/>
      <c r="M3" s="12"/>
      <c r="N3" s="15">
        <v>2</v>
      </c>
      <c r="Q3" s="16">
        <v>2</v>
      </c>
      <c r="R3" s="12">
        <v>0.6999768167734146</v>
      </c>
      <c r="S3" s="14">
        <v>0.004913096738305624</v>
      </c>
      <c r="T3" s="14">
        <v>0.004980380168152813</v>
      </c>
      <c r="U3" s="14">
        <v>0.006394018762098779</v>
      </c>
      <c r="V3" s="17">
        <v>0.005576700361302079</v>
      </c>
    </row>
    <row r="6" spans="1:22">
      <c r="A6" s="18" t="s">
        <v>16</v>
      </c>
      <c r="B6" s="19" t="s">
        <v>17</v>
      </c>
      <c r="C6" s="20" t="s">
        <v>18</v>
      </c>
    </row>
    <row r="7" spans="1:22">
      <c r="A7" s="11" t="s">
        <v>19</v>
      </c>
      <c r="B7" s="12"/>
      <c r="C7" s="21"/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19" width="22.7109375" customWidth="1"/>
    <col min="20" max="20" width="21.7109375" customWidth="1"/>
    <col min="21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0</v>
      </c>
      <c r="E2" s="7">
        <v>0</v>
      </c>
      <c r="F2" s="7">
        <v>0</v>
      </c>
      <c r="G2" s="7">
        <v>0</v>
      </c>
      <c r="H2" s="5"/>
      <c r="I2" s="5"/>
      <c r="J2" s="7"/>
      <c r="K2" s="7"/>
      <c r="L2" s="5"/>
      <c r="M2" s="5"/>
      <c r="N2" s="8">
        <v>2</v>
      </c>
      <c r="Q2" s="9">
        <v>1</v>
      </c>
      <c r="R2" s="5">
        <v>0.1024910618861516</v>
      </c>
      <c r="S2" s="7">
        <v>0.001416353802295763</v>
      </c>
      <c r="T2" s="7">
        <v>0.00145298569842135</v>
      </c>
      <c r="U2" s="7">
        <v>0.001441304158234566</v>
      </c>
      <c r="V2" s="10">
        <v>0.001529579909118332</v>
      </c>
    </row>
    <row r="3" spans="1:22">
      <c r="A3" s="11" t="s">
        <v>15</v>
      </c>
      <c r="B3" s="12">
        <v>2.82</v>
      </c>
      <c r="C3" s="13">
        <v>2</v>
      </c>
      <c r="D3" s="14">
        <v>0</v>
      </c>
      <c r="E3" s="14">
        <v>0</v>
      </c>
      <c r="F3" s="14">
        <v>0</v>
      </c>
      <c r="G3" s="14">
        <v>0</v>
      </c>
      <c r="H3" s="12"/>
      <c r="I3" s="12"/>
      <c r="J3" s="14"/>
      <c r="K3" s="14"/>
      <c r="L3" s="12"/>
      <c r="M3" s="12"/>
      <c r="N3" s="15">
        <v>2</v>
      </c>
      <c r="Q3" s="16">
        <v>2</v>
      </c>
      <c r="R3" s="12">
        <v>0.7209345002969105</v>
      </c>
      <c r="S3" s="14">
        <v>0.003700073564657766</v>
      </c>
      <c r="T3" s="14">
        <v>0.00375299825519218</v>
      </c>
      <c r="U3" s="14">
        <v>0.004864611331460341</v>
      </c>
      <c r="V3" s="17">
        <v>0.004221532723372496</v>
      </c>
    </row>
    <row r="6" spans="1:22">
      <c r="A6" s="18" t="s">
        <v>16</v>
      </c>
      <c r="B6" s="19" t="s">
        <v>17</v>
      </c>
      <c r="C6" s="20" t="s">
        <v>18</v>
      </c>
    </row>
    <row r="7" spans="1:22">
      <c r="A7" s="11" t="s">
        <v>19</v>
      </c>
      <c r="B7" s="12"/>
      <c r="C7" s="21"/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22" width="23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0</v>
      </c>
      <c r="E2" s="7">
        <v>0</v>
      </c>
      <c r="F2" s="7">
        <v>0</v>
      </c>
      <c r="G2" s="7">
        <v>0</v>
      </c>
      <c r="H2" s="5"/>
      <c r="I2" s="5"/>
      <c r="J2" s="7"/>
      <c r="K2" s="7"/>
      <c r="L2" s="5"/>
      <c r="M2" s="5"/>
      <c r="N2" s="8">
        <v>2</v>
      </c>
      <c r="Q2" s="9">
        <v>1</v>
      </c>
      <c r="R2" s="5">
        <v>0.1172087560097377</v>
      </c>
      <c r="S2" s="7">
        <v>0.0009286667762318792</v>
      </c>
      <c r="T2" s="7">
        <v>0.0009581253223565115</v>
      </c>
      <c r="U2" s="7">
        <v>0.0009483048529188849</v>
      </c>
      <c r="V2" s="10">
        <v>0.0009981359293258375</v>
      </c>
    </row>
    <row r="3" spans="1:22">
      <c r="A3" s="11" t="s">
        <v>15</v>
      </c>
      <c r="B3" s="12">
        <v>2.82</v>
      </c>
      <c r="C3" s="13">
        <v>2</v>
      </c>
      <c r="D3" s="14">
        <v>0</v>
      </c>
      <c r="E3" s="14">
        <v>0</v>
      </c>
      <c r="F3" s="14">
        <v>0</v>
      </c>
      <c r="G3" s="14">
        <v>0</v>
      </c>
      <c r="H3" s="12"/>
      <c r="I3" s="12"/>
      <c r="J3" s="14"/>
      <c r="K3" s="14"/>
      <c r="L3" s="12"/>
      <c r="M3" s="12"/>
      <c r="N3" s="15">
        <v>2</v>
      </c>
      <c r="Q3" s="16">
        <v>2</v>
      </c>
      <c r="R3" s="12">
        <v>0.7357584575812022</v>
      </c>
      <c r="S3" s="14">
        <v>0.002344268782260593</v>
      </c>
      <c r="T3" s="14">
        <v>0.002373195917996549</v>
      </c>
      <c r="U3" s="14">
        <v>0.003086126383904497</v>
      </c>
      <c r="V3" s="17">
        <v>0.002671297032078813</v>
      </c>
    </row>
    <row r="6" spans="1:22">
      <c r="A6" s="18" t="s">
        <v>16</v>
      </c>
      <c r="B6" s="19" t="s">
        <v>17</v>
      </c>
      <c r="C6" s="20" t="s">
        <v>18</v>
      </c>
    </row>
    <row r="7" spans="1:22">
      <c r="A7" s="11" t="s">
        <v>19</v>
      </c>
      <c r="B7" s="12"/>
      <c r="C7" s="21"/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FormatPr defaultRowHeight="15"/>
  <cols>
    <col min="1" max="1" width="6.7109375" customWidth="1"/>
    <col min="2" max="3" width="38.7109375" customWidth="1"/>
    <col min="4" max="4" width="31.7109375" customWidth="1"/>
    <col min="5" max="5" width="27.7109375" customWidth="1"/>
    <col min="6" max="6" width="30.7109375" customWidth="1"/>
    <col min="7" max="7" width="26.7109375" customWidth="1"/>
    <col min="8" max="8" width="12.7109375" customWidth="1"/>
    <col min="9" max="10" width="30.7109375" customWidth="1"/>
    <col min="11" max="12" width="28.7109375" customWidth="1"/>
  </cols>
  <sheetData>
    <row r="1" spans="1:12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>
      <c r="A2" s="1" t="s">
        <v>0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1</v>
      </c>
      <c r="I2" s="2" t="s">
        <v>33</v>
      </c>
      <c r="J2" s="2" t="s">
        <v>34</v>
      </c>
      <c r="K2" s="2" t="s">
        <v>35</v>
      </c>
      <c r="L2" s="3" t="s">
        <v>36</v>
      </c>
    </row>
    <row r="3" spans="1:12">
      <c r="A3" s="4" t="s">
        <v>14</v>
      </c>
      <c r="B3" s="23"/>
      <c r="C3" s="6">
        <v>2</v>
      </c>
      <c r="D3" s="7">
        <v>0</v>
      </c>
      <c r="E3" s="7">
        <v>0</v>
      </c>
      <c r="F3" s="5"/>
      <c r="G3" s="7"/>
      <c r="H3" s="5">
        <v>0.005</v>
      </c>
      <c r="I3" s="7"/>
      <c r="J3" s="7"/>
      <c r="K3" s="7"/>
      <c r="L3" s="10"/>
    </row>
    <row r="4" spans="1:12">
      <c r="A4" s="11" t="s">
        <v>15</v>
      </c>
      <c r="B4" s="24"/>
      <c r="C4" s="13">
        <v>2</v>
      </c>
      <c r="D4" s="14">
        <v>0</v>
      </c>
      <c r="E4" s="14">
        <v>0</v>
      </c>
      <c r="F4" s="12"/>
      <c r="G4" s="14"/>
      <c r="H4" s="12">
        <v>2.82</v>
      </c>
      <c r="I4" s="14"/>
      <c r="J4" s="14"/>
      <c r="K4" s="14"/>
      <c r="L4" s="17"/>
    </row>
    <row r="6" spans="1:12">
      <c r="A6" s="22" t="s">
        <v>37</v>
      </c>
      <c r="B6" s="22"/>
      <c r="C6" s="22"/>
    </row>
    <row r="7" spans="1:12">
      <c r="A7" s="18" t="s">
        <v>16</v>
      </c>
      <c r="B7" s="19" t="s">
        <v>38</v>
      </c>
      <c r="C7" s="20" t="s">
        <v>39</v>
      </c>
    </row>
    <row r="8" spans="1:12">
      <c r="A8" s="11" t="s">
        <v>19</v>
      </c>
      <c r="B8" s="12"/>
      <c r="C8" s="21"/>
    </row>
    <row r="11" spans="1:12">
      <c r="A11" s="22" t="s">
        <v>40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>
      <c r="A12" s="1" t="s">
        <v>0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1</v>
      </c>
      <c r="I12" s="2" t="s">
        <v>33</v>
      </c>
      <c r="J12" s="2" t="s">
        <v>34</v>
      </c>
      <c r="K12" s="2" t="s">
        <v>35</v>
      </c>
      <c r="L12" s="3" t="s">
        <v>36</v>
      </c>
    </row>
    <row r="13" spans="1:12">
      <c r="A13" s="4" t="s">
        <v>14</v>
      </c>
      <c r="B13" s="23"/>
      <c r="C13" s="6">
        <v>2</v>
      </c>
      <c r="D13" s="7">
        <v>0</v>
      </c>
      <c r="E13" s="7">
        <v>0</v>
      </c>
      <c r="F13" s="5"/>
      <c r="G13" s="7"/>
      <c r="H13" s="5">
        <v>0.005</v>
      </c>
      <c r="I13" s="7"/>
      <c r="J13" s="7"/>
      <c r="K13" s="7"/>
      <c r="L13" s="10"/>
    </row>
    <row r="14" spans="1:12">
      <c r="A14" s="11" t="s">
        <v>15</v>
      </c>
      <c r="B14" s="24"/>
      <c r="C14" s="13">
        <v>2</v>
      </c>
      <c r="D14" s="14">
        <v>0</v>
      </c>
      <c r="E14" s="14">
        <v>0</v>
      </c>
      <c r="F14" s="12"/>
      <c r="G14" s="14"/>
      <c r="H14" s="12">
        <v>2.82</v>
      </c>
      <c r="I14" s="14"/>
      <c r="J14" s="14"/>
      <c r="K14" s="14"/>
      <c r="L14" s="17"/>
    </row>
    <row r="16" spans="1:12">
      <c r="A16" s="22" t="s">
        <v>41</v>
      </c>
      <c r="B16" s="22"/>
      <c r="C16" s="22"/>
    </row>
    <row r="17" spans="1:12">
      <c r="A17" s="18" t="s">
        <v>16</v>
      </c>
      <c r="B17" s="19" t="s">
        <v>38</v>
      </c>
      <c r="C17" s="20" t="s">
        <v>39</v>
      </c>
    </row>
    <row r="18" spans="1:12">
      <c r="A18" s="11" t="s">
        <v>19</v>
      </c>
      <c r="B18" s="12"/>
      <c r="C18" s="21"/>
    </row>
    <row r="21" spans="1:12">
      <c r="A21" s="22" t="s">
        <v>42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>
      <c r="A22" s="1" t="s">
        <v>0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1</v>
      </c>
      <c r="I22" s="2" t="s">
        <v>33</v>
      </c>
      <c r="J22" s="2" t="s">
        <v>34</v>
      </c>
      <c r="K22" s="2" t="s">
        <v>35</v>
      </c>
      <c r="L22" s="3" t="s">
        <v>36</v>
      </c>
    </row>
    <row r="23" spans="1:12">
      <c r="A23" s="4" t="s">
        <v>14</v>
      </c>
      <c r="B23" s="23"/>
      <c r="C23" s="6">
        <v>2</v>
      </c>
      <c r="D23" s="7">
        <v>0</v>
      </c>
      <c r="E23" s="7">
        <v>0</v>
      </c>
      <c r="F23" s="5"/>
      <c r="G23" s="7"/>
      <c r="H23" s="5">
        <v>0.005</v>
      </c>
      <c r="I23" s="7"/>
      <c r="J23" s="7"/>
      <c r="K23" s="7"/>
      <c r="L23" s="10"/>
    </row>
    <row r="24" spans="1:12">
      <c r="A24" s="11" t="s">
        <v>15</v>
      </c>
      <c r="B24" s="24"/>
      <c r="C24" s="13">
        <v>2</v>
      </c>
      <c r="D24" s="14">
        <v>0</v>
      </c>
      <c r="E24" s="14">
        <v>0</v>
      </c>
      <c r="F24" s="12"/>
      <c r="G24" s="14"/>
      <c r="H24" s="12">
        <v>2.82</v>
      </c>
      <c r="I24" s="14"/>
      <c r="J24" s="14"/>
      <c r="K24" s="14"/>
      <c r="L24" s="17"/>
    </row>
    <row r="26" spans="1:12">
      <c r="A26" s="22" t="s">
        <v>43</v>
      </c>
      <c r="B26" s="22"/>
      <c r="C26" s="22"/>
    </row>
    <row r="27" spans="1:12">
      <c r="A27" s="18" t="s">
        <v>16</v>
      </c>
      <c r="B27" s="19" t="s">
        <v>38</v>
      </c>
      <c r="C27" s="20" t="s">
        <v>39</v>
      </c>
    </row>
    <row r="28" spans="1:12">
      <c r="A28" s="11" t="s">
        <v>19</v>
      </c>
      <c r="B28" s="12"/>
      <c r="C28" s="21"/>
    </row>
    <row r="31" spans="1:12">
      <c r="A31" s="22" t="s">
        <v>44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>
      <c r="A32" s="1" t="s">
        <v>0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32</v>
      </c>
      <c r="H32" s="2" t="s">
        <v>1</v>
      </c>
      <c r="I32" s="2" t="s">
        <v>33</v>
      </c>
      <c r="J32" s="2" t="s">
        <v>34</v>
      </c>
      <c r="K32" s="2" t="s">
        <v>35</v>
      </c>
      <c r="L32" s="3" t="s">
        <v>36</v>
      </c>
    </row>
    <row r="33" spans="1:12">
      <c r="A33" s="4" t="s">
        <v>14</v>
      </c>
      <c r="B33" s="23"/>
      <c r="C33" s="6">
        <v>2</v>
      </c>
      <c r="D33" s="7">
        <v>0</v>
      </c>
      <c r="E33" s="7">
        <v>0</v>
      </c>
      <c r="F33" s="5"/>
      <c r="G33" s="7"/>
      <c r="H33" s="5">
        <v>0.005</v>
      </c>
      <c r="I33" s="7"/>
      <c r="J33" s="7"/>
      <c r="K33" s="7"/>
      <c r="L33" s="10"/>
    </row>
    <row r="34" spans="1:12">
      <c r="A34" s="11" t="s">
        <v>15</v>
      </c>
      <c r="B34" s="24"/>
      <c r="C34" s="13">
        <v>2</v>
      </c>
      <c r="D34" s="14">
        <v>0</v>
      </c>
      <c r="E34" s="14">
        <v>0</v>
      </c>
      <c r="F34" s="12"/>
      <c r="G34" s="14"/>
      <c r="H34" s="12">
        <v>2.82</v>
      </c>
      <c r="I34" s="14"/>
      <c r="J34" s="14"/>
      <c r="K34" s="14"/>
      <c r="L34" s="17"/>
    </row>
    <row r="36" spans="1:12">
      <c r="A36" s="22" t="s">
        <v>45</v>
      </c>
      <c r="B36" s="22"/>
      <c r="C36" s="22"/>
    </row>
    <row r="37" spans="1:12">
      <c r="A37" s="18" t="s">
        <v>16</v>
      </c>
      <c r="B37" s="19" t="s">
        <v>38</v>
      </c>
      <c r="C37" s="20" t="s">
        <v>39</v>
      </c>
    </row>
    <row r="38" spans="1:12">
      <c r="A38" s="11" t="s">
        <v>19</v>
      </c>
      <c r="B38" s="12"/>
      <c r="C38" s="21"/>
    </row>
  </sheetData>
  <mergeCells count="8">
    <mergeCell ref="A1:L1"/>
    <mergeCell ref="A6:C6"/>
    <mergeCell ref="A11:L11"/>
    <mergeCell ref="A16:C16"/>
    <mergeCell ref="A21:L21"/>
    <mergeCell ref="A26:C26"/>
    <mergeCell ref="A31:L31"/>
    <mergeCell ref="A36:C36"/>
  </mergeCells>
  <conditionalFormatting sqref="K13:K14">
    <cfRule type="cellIs" dxfId="0" priority="5" operator="between">
      <formula>80.0</formula>
      <formula>120.0</formula>
    </cfRule>
    <cfRule type="cellIs" dxfId="1" priority="6" operator="notBetween">
      <formula>80.0</formula>
      <formula>120.0</formula>
    </cfRule>
  </conditionalFormatting>
  <conditionalFormatting sqref="K23:K24">
    <cfRule type="cellIs" dxfId="0" priority="9" operator="between">
      <formula>80.0</formula>
      <formula>120.0</formula>
    </cfRule>
    <cfRule type="cellIs" dxfId="1" priority="10" operator="notBetween">
      <formula>80.0</formula>
      <formula>120.0</formula>
    </cfRule>
  </conditionalFormatting>
  <conditionalFormatting sqref="K33:K34">
    <cfRule type="cellIs" dxfId="0" priority="13" operator="between">
      <formula>80.0</formula>
      <formula>120.0</formula>
    </cfRule>
    <cfRule type="cellIs" dxfId="1" priority="14" operator="notBetween">
      <formula>80.0</formula>
      <formula>120.0</formula>
    </cfRule>
  </conditionalFormatting>
  <conditionalFormatting sqref="K3:K4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L13:L14">
    <cfRule type="cellIs" dxfId="0" priority="7" operator="between">
      <formula>80.0</formula>
      <formula>120.0</formula>
    </cfRule>
    <cfRule type="cellIs" dxfId="1" priority="8" operator="notBetween">
      <formula>80.0</formula>
      <formula>120.0</formula>
    </cfRule>
  </conditionalFormatting>
  <conditionalFormatting sqref="L23:L24">
    <cfRule type="cellIs" dxfId="0" priority="11" operator="between">
      <formula>80.0</formula>
      <formula>120.0</formula>
    </cfRule>
    <cfRule type="cellIs" dxfId="1" priority="12" operator="notBetween">
      <formula>80.0</formula>
      <formula>120.0</formula>
    </cfRule>
  </conditionalFormatting>
  <conditionalFormatting sqref="L33:L34">
    <cfRule type="cellIs" dxfId="0" priority="15" operator="between">
      <formula>80.0</formula>
      <formula>120.0</formula>
    </cfRule>
    <cfRule type="cellIs" dxfId="1" priority="16" operator="notBetween">
      <formula>80.0</formula>
      <formula>120.0</formula>
    </cfRule>
  </conditionalFormatting>
  <conditionalFormatting sqref="L3:L4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7.7109375" customWidth="1"/>
    <col min="2" max="3" width="11.7109375" customWidth="1"/>
    <col min="4" max="5" width="24.7109375" customWidth="1"/>
    <col min="6" max="6" width="3.7109375" customWidth="1"/>
    <col min="7" max="7" width="22.7109375" customWidth="1"/>
    <col min="8" max="8" width="23.7109375" customWidth="1"/>
  </cols>
  <sheetData>
    <row r="1" spans="1:8">
      <c r="A1" s="1" t="s">
        <v>0</v>
      </c>
      <c r="B1" s="2" t="s">
        <v>46</v>
      </c>
      <c r="C1" s="2" t="s">
        <v>20</v>
      </c>
      <c r="D1" s="2" t="s">
        <v>47</v>
      </c>
      <c r="E1" s="2" t="s">
        <v>48</v>
      </c>
      <c r="F1" s="2" t="s">
        <v>2</v>
      </c>
      <c r="G1" s="2" t="s">
        <v>21</v>
      </c>
      <c r="H1" s="3" t="s">
        <v>49</v>
      </c>
    </row>
    <row r="2" spans="1:8">
      <c r="A2" s="4" t="s">
        <v>14</v>
      </c>
      <c r="B2" s="7">
        <v>2</v>
      </c>
      <c r="C2" s="6">
        <v>1</v>
      </c>
      <c r="D2" s="7">
        <v>0.002083589071645227</v>
      </c>
      <c r="E2" s="7">
        <v>3.441919148354511E-05</v>
      </c>
      <c r="F2" s="6">
        <v>2</v>
      </c>
      <c r="G2" s="5">
        <v>0.05372272928555807</v>
      </c>
      <c r="H2" s="25">
        <v>1.651918410973777</v>
      </c>
    </row>
    <row r="3" spans="1:8">
      <c r="A3" s="4" t="s">
        <v>14</v>
      </c>
      <c r="B3" s="7">
        <v>2</v>
      </c>
      <c r="C3" s="6">
        <v>2</v>
      </c>
      <c r="D3" s="7">
        <v>0.006819884757290152</v>
      </c>
      <c r="E3" s="7">
        <v>5.946448569450848E-05</v>
      </c>
      <c r="F3" s="6">
        <v>2</v>
      </c>
      <c r="G3" s="5">
        <v>0.6719033737977346</v>
      </c>
      <c r="H3" s="25">
        <v>0.8719280136067342</v>
      </c>
    </row>
    <row r="4" spans="1:8">
      <c r="A4" s="4" t="s">
        <v>14</v>
      </c>
      <c r="B4" s="7">
        <v>7</v>
      </c>
      <c r="C4" s="6">
        <v>1</v>
      </c>
      <c r="D4" s="7">
        <v>0.001792262612156235</v>
      </c>
      <c r="E4" s="7">
        <v>3.232516970072286E-05</v>
      </c>
      <c r="F4" s="6">
        <v>2</v>
      </c>
      <c r="G4" s="5">
        <v>0.08142949144045511</v>
      </c>
      <c r="H4" s="25">
        <v>1.803595604878077</v>
      </c>
    </row>
    <row r="5" spans="1:8">
      <c r="A5" s="4" t="s">
        <v>14</v>
      </c>
      <c r="B5" s="7">
        <v>7</v>
      </c>
      <c r="C5" s="6">
        <v>2</v>
      </c>
      <c r="D5" s="7">
        <v>0.004946738453229219</v>
      </c>
      <c r="E5" s="7">
        <v>4.757656950643677E-05</v>
      </c>
      <c r="F5" s="6">
        <v>2</v>
      </c>
      <c r="G5" s="5">
        <v>0.6995523611704508</v>
      </c>
      <c r="H5" s="25">
        <v>0.9617765312693841</v>
      </c>
    </row>
    <row r="6" spans="1:8">
      <c r="A6" s="4" t="s">
        <v>14</v>
      </c>
      <c r="B6" s="7">
        <v>14</v>
      </c>
      <c r="C6" s="6">
        <v>1</v>
      </c>
      <c r="D6" s="7">
        <v>0.001434669750358557</v>
      </c>
      <c r="E6" s="7">
        <v>2.590266215812379E-05</v>
      </c>
      <c r="F6" s="6">
        <v>2</v>
      </c>
      <c r="G6" s="5">
        <v>0.1026131908098857</v>
      </c>
      <c r="H6" s="25">
        <v>1.805479076397208</v>
      </c>
    </row>
    <row r="7" spans="1:8">
      <c r="A7" s="4" t="s">
        <v>14</v>
      </c>
      <c r="B7" s="7">
        <v>14</v>
      </c>
      <c r="C7" s="6">
        <v>2</v>
      </c>
      <c r="D7" s="7">
        <v>0.003726535909924973</v>
      </c>
      <c r="E7" s="7">
        <v>3.742340756908341E-05</v>
      </c>
      <c r="F7" s="6">
        <v>2</v>
      </c>
      <c r="G7" s="5">
        <v>0.7204651991526285</v>
      </c>
      <c r="H7" s="25">
        <v>1.004241163205022</v>
      </c>
    </row>
    <row r="8" spans="1:8">
      <c r="A8" s="4" t="s">
        <v>14</v>
      </c>
      <c r="B8" s="7">
        <v>30</v>
      </c>
      <c r="C8" s="6">
        <v>1</v>
      </c>
      <c r="D8" s="7">
        <v>0.0009433960492941953</v>
      </c>
      <c r="E8" s="7">
        <v>2.083033772862418E-05</v>
      </c>
      <c r="F8" s="6">
        <v>2</v>
      </c>
      <c r="G8" s="5">
        <v>0.1174887438615163</v>
      </c>
      <c r="H8" s="25">
        <v>2.208016213785128</v>
      </c>
    </row>
    <row r="9" spans="1:8">
      <c r="A9" s="4" t="s">
        <v>14</v>
      </c>
      <c r="B9" s="7">
        <v>30</v>
      </c>
      <c r="C9" s="6">
        <v>2</v>
      </c>
      <c r="D9" s="7">
        <v>0.002358732350128571</v>
      </c>
      <c r="E9" s="7">
        <v>2.045457383919812E-05</v>
      </c>
      <c r="F9" s="6">
        <v>2</v>
      </c>
      <c r="G9" s="5">
        <v>0.7354566077391307</v>
      </c>
      <c r="H9" s="25">
        <v>0.8671850300473122</v>
      </c>
    </row>
    <row r="10" spans="1:8">
      <c r="A10" s="4" t="s">
        <v>15</v>
      </c>
      <c r="B10" s="7">
        <v>2</v>
      </c>
      <c r="C10" s="6">
        <v>1</v>
      </c>
      <c r="D10" s="7">
        <v>0.0022034650379425</v>
      </c>
      <c r="E10" s="7">
        <v>0.0001417896977982917</v>
      </c>
      <c r="F10" s="6">
        <v>2</v>
      </c>
      <c r="G10" s="5">
        <v>0.05374693870544434</v>
      </c>
      <c r="H10" s="25">
        <v>6.434851261842067</v>
      </c>
    </row>
    <row r="11" spans="1:8">
      <c r="A11" s="4" t="s">
        <v>15</v>
      </c>
      <c r="B11" s="7">
        <v>2</v>
      </c>
      <c r="C11" s="6">
        <v>2</v>
      </c>
      <c r="D11" s="7">
        <v>0.008041491065692841</v>
      </c>
      <c r="E11" s="7">
        <v>0.0008245172009293204</v>
      </c>
      <c r="F11" s="6">
        <v>2</v>
      </c>
      <c r="G11" s="5">
        <v>0.6713646709918977</v>
      </c>
      <c r="H11" s="25">
        <v>10.25328753329009</v>
      </c>
    </row>
    <row r="12" spans="1:8">
      <c r="A12" s="4" t="s">
        <v>15</v>
      </c>
      <c r="B12" s="7">
        <v>7</v>
      </c>
      <c r="C12" s="6">
        <v>1</v>
      </c>
      <c r="D12" s="7">
        <v>0.001874841466017633</v>
      </c>
      <c r="E12" s="7">
        <v>9.552214218030625E-05</v>
      </c>
      <c r="F12" s="6">
        <v>2</v>
      </c>
      <c r="G12" s="5">
        <v>0.08134704232215881</v>
      </c>
      <c r="H12" s="25">
        <v>5.094945034643684</v>
      </c>
    </row>
    <row r="13" spans="1:8">
      <c r="A13" s="4" t="s">
        <v>15</v>
      </c>
      <c r="B13" s="7">
        <v>7</v>
      </c>
      <c r="C13" s="6">
        <v>2</v>
      </c>
      <c r="D13" s="7">
        <v>0.005985359561700428</v>
      </c>
      <c r="E13" s="7">
        <v>0.0005779313835918905</v>
      </c>
      <c r="F13" s="6">
        <v>2</v>
      </c>
      <c r="G13" s="5">
        <v>0.7004012723763784</v>
      </c>
      <c r="H13" s="25">
        <v>9.655750463013142</v>
      </c>
    </row>
    <row r="14" spans="1:8">
      <c r="A14" s="4" t="s">
        <v>15</v>
      </c>
      <c r="B14" s="7">
        <v>14</v>
      </c>
      <c r="C14" s="6">
        <v>1</v>
      </c>
      <c r="D14" s="7">
        <v>0.001485442033676449</v>
      </c>
      <c r="E14" s="7">
        <v>6.242038206424518E-05</v>
      </c>
      <c r="F14" s="6">
        <v>2</v>
      </c>
      <c r="G14" s="5">
        <v>0.1023689329624176</v>
      </c>
      <c r="H14" s="25">
        <v>4.202141897772718</v>
      </c>
    </row>
    <row r="15" spans="1:8">
      <c r="A15" s="4" t="s">
        <v>15</v>
      </c>
      <c r="B15" s="7">
        <v>14</v>
      </c>
      <c r="C15" s="6">
        <v>2</v>
      </c>
      <c r="D15" s="7">
        <v>0.004543072027416419</v>
      </c>
      <c r="E15" s="7">
        <v>0.0004547252446149219</v>
      </c>
      <c r="F15" s="6">
        <v>2</v>
      </c>
      <c r="G15" s="5">
        <v>0.7214038014411925</v>
      </c>
      <c r="H15" s="25">
        <v>10.00920174434297</v>
      </c>
    </row>
    <row r="16" spans="1:8">
      <c r="A16" s="4" t="s">
        <v>15</v>
      </c>
      <c r="B16" s="7">
        <v>30</v>
      </c>
      <c r="C16" s="6">
        <v>1</v>
      </c>
      <c r="D16" s="7">
        <v>0.0009732203911223612</v>
      </c>
      <c r="E16" s="7">
        <v>3.523589204118113E-05</v>
      </c>
      <c r="F16" s="6">
        <v>2</v>
      </c>
      <c r="G16" s="5">
        <v>0.116928768157959</v>
      </c>
      <c r="H16" s="25">
        <v>3.620546010194621</v>
      </c>
    </row>
    <row r="17" spans="1:8">
      <c r="A17" s="11" t="s">
        <v>15</v>
      </c>
      <c r="B17" s="14">
        <v>30</v>
      </c>
      <c r="C17" s="13">
        <v>2</v>
      </c>
      <c r="D17" s="14">
        <v>0.002878711707991655</v>
      </c>
      <c r="E17" s="14">
        <v>0.000293328647711161</v>
      </c>
      <c r="F17" s="13">
        <v>2</v>
      </c>
      <c r="G17" s="12">
        <v>0.7360603074232737</v>
      </c>
      <c r="H17" s="21">
        <v>10.18958052995876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Freq_2</vt:lpstr>
      <vt:lpstr>Freq_7</vt:lpstr>
      <vt:lpstr>Freq_14</vt:lpstr>
      <vt:lpstr>Freq_30</vt:lpstr>
      <vt:lpstr>without_outlier_results</vt:lpstr>
      <vt:lpstr>summary_average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2026-03-11T17:22:58Z</dcterms:created>
  <dcterms:modified xsi:type="dcterms:W3CDTF">2026-03-11T17:22:58Z</dcterms:modified>
</cp:coreProperties>
</file>